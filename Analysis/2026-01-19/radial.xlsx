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4630" windowHeight="6610"/>
  </bookViews>
  <sheets>
    <sheet name="raw" sheetId="1" r:id="rId1"/>
    <sheet name="first_derivative" sheetId="2" r:id="rId2"/>
  </sheets>
  <definedNames>
    <definedName name="_xlnm.Sheet_Title" localSheetId="0">"raw"</definedName>
    <definedName name="_xlnm.Print_Area" localSheetId="0">#REF!</definedName>
    <definedName name="B" localSheetId="0">#NAME?</definedName>
    <definedName name="H" localSheetId="0">#NAME?</definedName>
    <definedName name="b" localSheetId="0">#NAME?</definedName>
    <definedName name="A" localSheetId="0">#NAME?</definedName>
    <definedName name="C" localSheetId="0">#NAME?</definedName>
    <definedName name="c" localSheetId="0">#NAME?</definedName>
    <definedName name="_xlnm.Sheet_Title" localSheetId="1">"first_derivative"</definedName>
    <definedName name="_xlnm.Print_Area" localSheetId="1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<sst xmlns="http://schemas.openxmlformats.org/spreadsheetml/2006/main" uniqueCount="8" count="8">
  <si>
    <t>debye</t>
  </si>
  <si>
    <t>prop</t>
  </si>
  <si>
    <t>diff</t>
  </si>
  <si>
    <t>parameter</t>
  </si>
  <si>
    <t>value</t>
  </si>
  <si>
    <t>advice</t>
  </si>
  <si>
    <t>epsilon</t>
  </si>
  <si>
    <t>Q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</si>
</sst>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1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4" Type="http://schemas.openxmlformats.org/officeDocument/2006/relationships/styles" Target="styles.xml"/>
  <Relationship Id="rId3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H28"/>
  <sheetViews>
    <sheetView workbookViewId="0" tabSelected="1">
      <selection activeCell="H4" sqref="H4"/>
    </sheetView>
  </sheetViews>
  <sheetFormatPr defaultColWidth="67.5" defaultRowHeight="15"/>
  <cols>
    <col min="1" max="256" style="0" width="12.856370192307693"/>
  </cols>
  <sheetData>
    <row r="1" spans="1:8">
      <c r="B1" s="1" t="s">
        <v>0</v>
      </c>
      <c r="C1" s="1" t="s">
        <v>1</v>
      </c>
      <c r="D1" s="1" t="s">
        <v>2</v>
      </c>
      <c r="G1" s="1" t="s">
        <v>3</v>
      </c>
      <c r="H1" s="1" t="s">
        <v>4</v>
      </c>
    </row>
    <row r="2" spans="1:8">
      <c r="A2">
        <v>0</v>
      </c>
      <c r="B2">
        <v>2768117657.4990559</v>
      </c>
      <c r="C2">
        <v>3375797450.8482699</v>
      </c>
      <c r="D2">
        <f>ABS(raw!C2-raw!B2)</f>
        <v>607679793.34921408</v>
      </c>
      <c r="G2" t="s">
        <v>5</v>
      </c>
      <c r="H2">
        <v>3972</v>
      </c>
    </row>
    <row r="3" spans="1:8">
      <c r="A3">
        <v>0.02</v>
      </c>
      <c r="B3">
        <v>2456694755.1037621</v>
      </c>
      <c r="C3">
        <v>2995789299.9355812</v>
      </c>
      <c r="D3">
        <f>ABS(raw!C3-raw!B3)</f>
        <v>539094544.83181906</v>
      </c>
      <c r="G3" t="s">
        <v>6</v>
      </c>
      <c r="H3">
        <v>0.10000000000000001</v>
      </c>
    </row>
    <row r="4" spans="1:8">
      <c r="A4">
        <v>0.040000000000000001</v>
      </c>
      <c r="B4">
        <v>1740542748.4608569</v>
      </c>
      <c r="C4">
        <v>2122076803.9136879</v>
      </c>
      <c r="D4">
        <f>ABS(raw!C4-raw!B4)</f>
        <v>381534055.45283103</v>
      </c>
      <c r="G4" t="inlineStr">
        <is>
          <t>samples</t>
        </is>
      </c>
      <c r="H4">
        <f>ROUNDDOWN(SQRT(raw!H2)/0.10000000000000001,0)</f>
        <v>630</v>
      </c>
    </row>
    <row r="5" spans="1:8">
      <c r="A5">
        <v>0.059999999999999998</v>
      </c>
      <c r="B5">
        <v>1034499640.715937</v>
      </c>
      <c r="C5">
        <v>1261052489.6997371</v>
      </c>
      <c r="D5">
        <f>ABS(raw!C5-raw!B5)</f>
        <v>226552848.98380005</v>
      </c>
    </row>
    <row r="6" spans="1:8">
      <c r="A6">
        <v>0.080000000000000002</v>
      </c>
      <c r="B6">
        <v>568229063.96619701</v>
      </c>
      <c r="C6">
        <v>692826322.36867094</v>
      </c>
      <c r="D6">
        <f>ABS(raw!C6-raw!B6)</f>
        <v>124597258.40247393</v>
      </c>
    </row>
    <row r="7" spans="1:8">
      <c r="A7">
        <v>0.10000000000000001</v>
      </c>
      <c r="B7">
        <v>319203637.90114498</v>
      </c>
      <c r="C7">
        <v>389580481.93475401</v>
      </c>
      <c r="D7">
        <f>ABS(raw!C7-raw!B7)</f>
        <v>70376844.033609033</v>
      </c>
    </row>
    <row r="8" spans="1:8">
      <c r="A8">
        <v>0.12</v>
      </c>
      <c r="B8">
        <v>189690728.66378999</v>
      </c>
      <c r="C8">
        <v>231883550.60106301</v>
      </c>
      <c r="D8">
        <f>ABS(raw!C8-raw!B8)</f>
        <v>42192821.937273026</v>
      </c>
    </row>
    <row r="9" spans="1:8">
      <c r="A9">
        <v>0.14000000000000001</v>
      </c>
      <c r="B9">
        <v>119759900.834497</v>
      </c>
      <c r="C9">
        <v>146659681.51405701</v>
      </c>
      <c r="D9">
        <f>ABS(raw!C9-raw!B9)</f>
        <v>26899780.679560006</v>
      </c>
    </row>
    <row r="10" spans="1:8">
      <c r="A10">
        <v>0.16</v>
      </c>
      <c r="B10">
        <v>80397951.845429003</v>
      </c>
      <c r="C10">
        <v>98611632.411289006</v>
      </c>
      <c r="D10">
        <f>ABS(raw!C10-raw!B10)</f>
        <v>18213680.565860003</v>
      </c>
    </row>
    <row r="11" spans="1:8">
      <c r="A11">
        <v>0.17999999999999999</v>
      </c>
      <c r="B11">
        <v>53687358.089869998</v>
      </c>
      <c r="C11">
        <v>65915913.878577001</v>
      </c>
      <c r="D11">
        <f>ABS(raw!C11-raw!B11)</f>
        <v>12228555.788707003</v>
      </c>
    </row>
    <row r="12" spans="1:8">
      <c r="A12">
        <v>0.20000000000000001</v>
      </c>
      <c r="B12">
        <v>32337464.961789001</v>
      </c>
      <c r="C12">
        <v>39695448.470996998</v>
      </c>
      <c r="D12">
        <f>ABS(raw!C12-raw!B12)</f>
        <v>7357983.5092079975</v>
      </c>
    </row>
    <row r="13" spans="1:8">
      <c r="A13">
        <v>0.22</v>
      </c>
      <c r="B13">
        <v>17046930.327125002</v>
      </c>
      <c r="C13">
        <v>20860415.766812</v>
      </c>
      <c r="D13">
        <f>ABS(raw!C13-raw!B13)</f>
        <v>3813485.4396869987</v>
      </c>
    </row>
    <row r="14" spans="1:8">
      <c r="A14">
        <v>0.23999999999999999</v>
      </c>
      <c r="B14">
        <v>9258804.6347569991</v>
      </c>
      <c r="C14">
        <v>11229625.775699999</v>
      </c>
      <c r="D14">
        <f>ABS(raw!C14-raw!B14)</f>
        <v>1970821.1409430001</v>
      </c>
    </row>
    <row r="15" spans="1:8">
      <c r="A15">
        <v>0.26000000000000001</v>
      </c>
      <c r="B15">
        <v>7038658.6177329998</v>
      </c>
      <c r="C15">
        <v>8453643.6429520007</v>
      </c>
      <c r="D15">
        <f>ABS(raw!C15-raw!B15)</f>
        <v>1414985.0252190009</v>
      </c>
    </row>
    <row r="16" spans="1:8">
      <c r="A16">
        <v>0.28000000000000003</v>
      </c>
      <c r="B16">
        <v>6744159.0716559999</v>
      </c>
      <c r="C16">
        <v>8071820.2484010002</v>
      </c>
      <c r="D16">
        <f>ABS(raw!C16-raw!B16)</f>
        <v>1327661.1767450003</v>
      </c>
    </row>
    <row r="17" spans="1:8">
      <c r="A17">
        <v>0.29999999999999999</v>
      </c>
      <c r="B17">
        <v>6371234.709857</v>
      </c>
      <c r="C17">
        <v>7618660.7969159996</v>
      </c>
      <c r="D17">
        <f>ABS(raw!C17-raw!B17)</f>
        <v>1247426.0870589996</v>
      </c>
    </row>
    <row r="18" spans="1:8">
      <c r="A18">
        <v>0.32000000000000001</v>
      </c>
      <c r="B18">
        <v>5554519.1929129995</v>
      </c>
      <c r="C18">
        <v>6625696.9904699996</v>
      </c>
      <c r="D18">
        <f>ABS(raw!C18-raw!B18)</f>
        <v>1071177.7975570001</v>
      </c>
    </row>
    <row r="19" spans="1:8">
      <c r="A19">
        <v>0.34000000000000002</v>
      </c>
      <c r="B19">
        <v>4374034.3203490004</v>
      </c>
      <c r="C19">
        <v>5179831.919516</v>
      </c>
      <c r="D19">
        <f>ABS(raw!C19-raw!B19)</f>
        <v>805797.59916699957</v>
      </c>
    </row>
    <row r="20" spans="1:8">
      <c r="A20">
        <v>0.35999999999999999</v>
      </c>
      <c r="B20">
        <v>3385241.438145</v>
      </c>
      <c r="C20">
        <v>3965782.5104720001</v>
      </c>
      <c r="D20">
        <f>ABS(raw!C20-raw!B20)</f>
        <v>580541.07232700009</v>
      </c>
    </row>
    <row r="21" spans="1:8">
      <c r="A21">
        <v>0.38</v>
      </c>
      <c r="B21">
        <v>3020043.0745709999</v>
      </c>
      <c r="C21">
        <v>3517860.6056369999</v>
      </c>
      <c r="D21">
        <f>ABS(raw!C21-raw!B21)</f>
        <v>497817.531066</v>
      </c>
    </row>
    <row r="22" spans="1:8">
      <c r="A22">
        <v>0.40000000000000002</v>
      </c>
      <c r="B22">
        <v>2994270.7551899999</v>
      </c>
      <c r="C22">
        <v>3489204.7733339998</v>
      </c>
      <c r="D22">
        <f>ABS(raw!C22-raw!B22)</f>
        <v>494934.01814399986</v>
      </c>
    </row>
    <row r="23" spans="1:8">
      <c r="A23">
        <v>0.41999999999999998</v>
      </c>
      <c r="B23">
        <v>2992327.9540840001</v>
      </c>
      <c r="C23">
        <v>3490594.1515509998</v>
      </c>
      <c r="D23">
        <f>ABS(raw!C23-raw!B23)</f>
        <v>498266.19746699976</v>
      </c>
    </row>
    <row r="24" spans="1:8">
      <c r="A24">
        <v>0.44</v>
      </c>
      <c r="B24">
        <v>2949686.7165709999</v>
      </c>
      <c r="C24">
        <v>3437787.8376640002</v>
      </c>
      <c r="D24">
        <f>ABS(raw!C24-raw!B24)</f>
        <v>488101.12109300029</v>
      </c>
    </row>
    <row r="25" spans="1:8">
      <c r="A25">
        <v>0.46000000000000002</v>
      </c>
      <c r="B25">
        <v>2778161.4432979999</v>
      </c>
      <c r="C25">
        <v>3222841.2639430002</v>
      </c>
      <c r="D25">
        <f>ABS(raw!C25-raw!B25)</f>
        <v>444679.82064500032</v>
      </c>
    </row>
    <row r="26" spans="1:8">
      <c r="A26">
        <v>0.47999999999999998</v>
      </c>
      <c r="B26">
        <v>2535537.0763690001</v>
      </c>
      <c r="C26">
        <v>2921513.6739670001</v>
      </c>
      <c r="D26">
        <f>ABS(raw!C26-raw!B26)</f>
        <v>385976.59759799996</v>
      </c>
    </row>
    <row r="27" spans="1:8">
      <c r="A27">
        <v>0.5</v>
      </c>
      <c r="B27">
        <v>2364121.1567890001</v>
      </c>
      <c r="C27">
        <v>2710175.8555359999</v>
      </c>
      <c r="D27">
        <f>ABS(raw!C27-raw!B27)</f>
        <v>346054.69874699973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6"/>
  <sheetViews>
    <sheetView workbookViewId="0">
      <selection activeCell="A1" sqref="A1:D1"/>
    </sheetView>
  </sheetViews>
  <sheetFormatPr defaultColWidth="67.5" defaultRowHeight="15"/>
  <cols>
    <col min="1" max="1" style="0" width="12.856370192307693"/>
    <col min="2" max="2" style="0" width="24.569951923076925" customWidth="1"/>
    <col min="3" max="3" style="0" width="28.141165865384618" customWidth="1"/>
    <col min="4" max="256" style="0" width="12.856370192307693"/>
  </cols>
  <sheetData>
    <row r="1" spans="1:4">
      <c r="A1" s="1" t="s">
        <v>7</v>
      </c>
      <c r="B1" s="1" t="s">
        <v>0</v>
      </c>
      <c r="C1" s="1" t="s">
        <v>1</v>
      </c>
      <c r="D1" s="1" t="s">
        <v>2</v>
      </c>
    </row>
    <row r="2" spans="1:4">
      <c r="A2">
        <v>0.02</v>
      </c>
      <c r="B2">
        <f>(raw!B3-raw!B2)/(raw!A3-raw!A2)</f>
        <v>-15571145119.764685</v>
      </c>
      <c r="C2">
        <f>(raw!C3-raw!C2)/(raw!A3-raw!A2)</f>
        <v>-19000407545.634438</v>
      </c>
      <c r="D2">
        <f>ABS(first_derivative!C2-first_derivative!B2)</f>
        <v>3429262425.8697529</v>
      </c>
    </row>
    <row r="3" spans="1:4">
      <c r="A3">
        <v>0.040000000000000001</v>
      </c>
      <c r="B3">
        <f>(raw!B4-raw!B3)/(raw!A4-raw!A3)</f>
        <v>-35807600332.145264</v>
      </c>
      <c r="C3">
        <f>(raw!C4-raw!C3)/(raw!A4-raw!A3)</f>
        <v>-43685624801.094666</v>
      </c>
      <c r="D3">
        <f>ABS(first_derivative!C3-first_derivative!B3)</f>
        <v>7878024468.9494019</v>
      </c>
    </row>
    <row r="4" spans="1:4">
      <c r="A4">
        <v>0.059999999999999998</v>
      </c>
      <c r="B4">
        <f>(raw!B5-raw!B4)/(raw!A5-raw!A4)</f>
        <v>-35302155387.246002</v>
      </c>
      <c r="C4">
        <f>(raw!C5-raw!C4)/(raw!A5-raw!A4)</f>
        <v>-43051215710.697548</v>
      </c>
      <c r="D4">
        <f>ABS(first_derivative!C4-first_derivative!B4)</f>
        <v>7749060323.4515457</v>
      </c>
    </row>
    <row r="5" spans="1:4">
      <c r="A5">
        <v>0.080000000000000002</v>
      </c>
      <c r="B5">
        <f>(raw!B6-raw!B5)/(raw!A6-raw!A5)</f>
        <v>-23313528837.486996</v>
      </c>
      <c r="C5">
        <f>(raw!C6-raw!C5)/(raw!A6-raw!A5)</f>
        <v>-28411308366.553303</v>
      </c>
      <c r="D5">
        <f>ABS(first_derivative!C5-first_derivative!B5)</f>
        <v>5097779529.0663071</v>
      </c>
    </row>
    <row r="6" spans="1:4">
      <c r="A6">
        <v>0.10000000000000001</v>
      </c>
      <c r="B6">
        <f>(raw!B7-raw!B6)/(raw!A7-raw!A6)</f>
        <v>-12451271303.2526</v>
      </c>
      <c r="C6">
        <f>(raw!C7-raw!C6)/(raw!A7-raw!A6)</f>
        <v>-15162292021.695843</v>
      </c>
      <c r="D6">
        <f>ABS(first_derivative!C6-first_derivative!B6)</f>
        <v>2711020718.443243</v>
      </c>
    </row>
    <row r="7" spans="1:4">
      <c r="A7">
        <v>0.12</v>
      </c>
      <c r="B7">
        <f>(raw!B8-raw!B7)/(raw!A8-raw!A7)</f>
        <v>-6475645461.867753</v>
      </c>
      <c r="C7">
        <f>(raw!C8-raw!C7)/(raw!A8-raw!A7)</f>
        <v>-7884846566.6845541</v>
      </c>
      <c r="D7">
        <f>ABS(first_derivative!C7-first_derivative!B7)</f>
        <v>1409201104.8168011</v>
      </c>
    </row>
    <row r="8" spans="1:4">
      <c r="A8">
        <v>0.14000000000000001</v>
      </c>
      <c r="B8">
        <f>(raw!B9-raw!B8)/(raw!A9-raw!A8)</f>
        <v>-3496541391.4646459</v>
      </c>
      <c r="C8">
        <f>(raw!C9-raw!C8)/(raw!A9-raw!A8)</f>
        <v>-4261193454.3502965</v>
      </c>
      <c r="D8">
        <f>ABS(first_derivative!C8-first_derivative!B8)</f>
        <v>764652062.88565063</v>
      </c>
    </row>
    <row r="9" spans="1:4">
      <c r="A9">
        <v>0.16</v>
      </c>
      <c r="B9">
        <f>(raw!B10-raw!B9)/(raw!A10-raw!A9)</f>
        <v>-1968097449.4534011</v>
      </c>
      <c r="C9">
        <f>(raw!C10-raw!C9)/(raw!A10-raw!A9)</f>
        <v>-2402402455.1384015</v>
      </c>
      <c r="D9">
        <f>ABS(first_derivative!C9-first_derivative!B9)</f>
        <v>434305005.68500042</v>
      </c>
    </row>
    <row r="10" spans="1:4">
      <c r="A10">
        <v>0.17999999999999999</v>
      </c>
      <c r="B10">
        <f>(raw!B11-raw!B10)/(raw!A11-raw!A10)</f>
        <v>-1335529687.777951</v>
      </c>
      <c r="C10">
        <f>(raw!C11-raw!C10)/(raw!A11-raw!A10)</f>
        <v>-1634785926.635601</v>
      </c>
      <c r="D10">
        <f>ABS(first_derivative!C10-first_derivative!B10)</f>
        <v>299256238.85765004</v>
      </c>
    </row>
    <row r="11" spans="1:4">
      <c r="A11">
        <v>0.20000000000000001</v>
      </c>
      <c r="B11">
        <f>(raw!B12-raw!B11)/(raw!A12-raw!A11)</f>
        <v>-1067494656.4040489</v>
      </c>
      <c r="C11">
        <f>(raw!C12-raw!C11)/(raw!A12-raw!A11)</f>
        <v>-1311023270.378999</v>
      </c>
      <c r="D11">
        <f>ABS(first_derivative!C11-first_derivative!B11)</f>
        <v>243528613.97495008</v>
      </c>
    </row>
    <row r="12" spans="1:4">
      <c r="A12">
        <v>0.22</v>
      </c>
      <c r="B12">
        <f>(raw!B13-raw!B12)/(raw!A13-raw!A12)</f>
        <v>-764526731.73320031</v>
      </c>
      <c r="C12">
        <f>(raw!C13-raw!C12)/(raw!A13-raw!A12)</f>
        <v>-941751635.20925033</v>
      </c>
      <c r="D12">
        <f>ABS(first_derivative!C12-first_derivative!B12)</f>
        <v>177224903.47605002</v>
      </c>
    </row>
    <row r="13" spans="1:4">
      <c r="A13">
        <v>0.23999999999999999</v>
      </c>
      <c r="B13">
        <f>(raw!B14-raw!B13)/(raw!A14-raw!A13)</f>
        <v>-389406284.61840034</v>
      </c>
      <c r="C13">
        <f>(raw!C14-raw!C13)/(raw!A14-raw!A13)</f>
        <v>-481539499.55560029</v>
      </c>
      <c r="D13">
        <f>ABS(first_derivative!C13-first_derivative!B13)</f>
        <v>92133214.93719995</v>
      </c>
    </row>
    <row r="14" spans="1:4">
      <c r="A14">
        <v>0.26000000000000001</v>
      </c>
      <c r="B14">
        <f>(raw!B15-raw!B14)/(raw!A15-raw!A14)</f>
        <v>-111007300.85119987</v>
      </c>
      <c r="C14">
        <f>(raw!C15-raw!C14)/(raw!A15-raw!A14)</f>
        <v>-138799106.63739979</v>
      </c>
      <c r="D14">
        <f>ABS(first_derivative!C14-first_derivative!B14)</f>
        <v>27791805.786199927</v>
      </c>
    </row>
    <row r="15" spans="1:4">
      <c r="A15">
        <v>0.28000000000000003</v>
      </c>
      <c r="B15">
        <f>(raw!B16-raw!B15)/(raw!A16-raw!A15)</f>
        <v>-14724977.303849986</v>
      </c>
      <c r="C15">
        <f>(raw!C16-raw!C15)/(raw!A16-raw!A15)</f>
        <v>-19091169.727550011</v>
      </c>
      <c r="D15">
        <f>ABS(first_derivative!C15-first_derivative!B15)</f>
        <v>4366192.4237000253</v>
      </c>
    </row>
    <row r="16" spans="1:4">
      <c r="A16">
        <v>0.29999999999999999</v>
      </c>
      <c r="B16">
        <f>(raw!B17-raw!B16)/(raw!A17-raw!A16)</f>
        <v>-18646218.089950025</v>
      </c>
      <c r="C16">
        <f>(raw!C17-raw!C16)/(raw!A17-raw!A16)</f>
        <v>-22657972.574250069</v>
      </c>
      <c r="D16">
        <f>ABS(first_derivative!C16-first_derivative!B16)</f>
        <v>4011754.4843000434</v>
      </c>
    </row>
    <row r="17" spans="1:4">
      <c r="A17">
        <v>0.32000000000000001</v>
      </c>
      <c r="B17">
        <f>(raw!B18-raw!B17)/(raw!A18-raw!A17)</f>
        <v>-40835775.847199991</v>
      </c>
      <c r="C17">
        <f>(raw!C18-raw!C17)/(raw!A18-raw!A17)</f>
        <v>-49648190.322299957</v>
      </c>
      <c r="D17">
        <f>ABS(first_derivative!C17-first_derivative!B17)</f>
        <v>8812414.4750999659</v>
      </c>
    </row>
    <row r="18" spans="1:4">
      <c r="A18">
        <v>0.34000000000000002</v>
      </c>
      <c r="B18">
        <f>(raw!B19-raw!B18)/(raw!A19-raw!A18)</f>
        <v>-59024243.628199905</v>
      </c>
      <c r="C18">
        <f>(raw!C19-raw!C18)/(raw!A19-raw!A18)</f>
        <v>-72293253.547699913</v>
      </c>
      <c r="D18">
        <f>ABS(first_derivative!C18-first_derivative!B18)</f>
        <v>13269009.919500008</v>
      </c>
    </row>
    <row r="19" spans="1:4">
      <c r="A19">
        <v>0.35999999999999999</v>
      </c>
      <c r="B19">
        <f>(raw!B20-raw!B19)/(raw!A20-raw!A19)</f>
        <v>-49439644.110200115</v>
      </c>
      <c r="C19">
        <f>(raw!C20-raw!C19)/(raw!A20-raw!A19)</f>
        <v>-60702470.452200107</v>
      </c>
      <c r="D19">
        <f>ABS(first_derivative!C19-first_derivative!B19)</f>
        <v>11262826.341999993</v>
      </c>
    </row>
    <row r="20" spans="1:4">
      <c r="A20">
        <v>0.38</v>
      </c>
      <c r="B20">
        <f>(raw!B21-raw!B20)/(raw!A21-raw!A20)</f>
        <v>-18259918.178699989</v>
      </c>
      <c r="C20">
        <f>(raw!C21-raw!C20)/(raw!A21-raw!A20)</f>
        <v>-22396095.241749987</v>
      </c>
      <c r="D20">
        <f>ABS(first_derivative!C20-first_derivative!B20)</f>
        <v>4136177.0630499981</v>
      </c>
    </row>
    <row r="21" spans="1:4">
      <c r="A21">
        <v>0.40000000000000002</v>
      </c>
      <c r="B21">
        <f>(raw!B22-raw!B21)/(raw!A22-raw!A21)</f>
        <v>-1288615.9690499993</v>
      </c>
      <c r="C21">
        <f>(raw!C22-raw!C21)/(raw!A22-raw!A21)</f>
        <v>-1432791.6151500063</v>
      </c>
      <c r="D21">
        <f>ABS(first_derivative!C21-first_derivative!B21)</f>
        <v>144175.646100007</v>
      </c>
    </row>
    <row r="22" spans="1:4">
      <c r="A22">
        <v>0.41999999999999998</v>
      </c>
      <c r="B22">
        <f>(raw!B23-raw!B22)/(raw!A23-raw!A22)</f>
        <v>-97140.055299992862</v>
      </c>
      <c r="C22">
        <f>(raw!C23-raw!C22)/(raw!A23-raw!A22)</f>
        <v>69468.910850002561</v>
      </c>
      <c r="D22">
        <f>ABS(first_derivative!C22-first_derivative!B22)</f>
        <v>166608.96614999542</v>
      </c>
    </row>
    <row r="23" spans="1:4">
      <c r="A23">
        <v>0.44</v>
      </c>
      <c r="B23">
        <f>(raw!B24-raw!B23)/(raw!A24-raw!A23)</f>
        <v>-2132061.8756500054</v>
      </c>
      <c r="C23">
        <f>(raw!C24-raw!C23)/(raw!A24-raw!A23)</f>
        <v>-2640315.6943499786</v>
      </c>
      <c r="D23">
        <f>ABS(first_derivative!C23-first_derivative!B23)</f>
        <v>508253.81869997317</v>
      </c>
    </row>
    <row r="24" spans="1:4">
      <c r="A24">
        <v>0.46000000000000002</v>
      </c>
      <c r="B24">
        <f>(raw!B25-raw!B24)/(raw!A25-raw!A24)</f>
        <v>-8576263.663649993</v>
      </c>
      <c r="C24">
        <f>(raw!C25-raw!C24)/(raw!A25-raw!A24)</f>
        <v>-10747328.68604999</v>
      </c>
      <c r="D24">
        <f>ABS(first_derivative!C24-first_derivative!B24)</f>
        <v>2171065.0223999973</v>
      </c>
    </row>
    <row r="25" spans="1:4">
      <c r="A25">
        <v>0.47999999999999998</v>
      </c>
      <c r="B25">
        <f>(raw!B26-raw!B25)/(raw!A26-raw!A25)</f>
        <v>-12131218.346450012</v>
      </c>
      <c r="C25">
        <f>(raw!C26-raw!C25)/(raw!A26-raw!A25)</f>
        <v>-15066379.498800036</v>
      </c>
      <c r="D25">
        <f>ABS(first_derivative!C25-first_derivative!B25)</f>
        <v>2935161.1523500234</v>
      </c>
    </row>
    <row r="26" spans="1:4">
      <c r="A26">
        <v>0.5</v>
      </c>
      <c r="B26">
        <f>(raw!B27-raw!B26)/(raw!A27-raw!A26)</f>
        <v>-8570795.978999991</v>
      </c>
      <c r="C26">
        <f>(raw!C27-raw!C26)/(raw!A27-raw!A26)</f>
        <v>-10566890.921550002</v>
      </c>
      <c r="D26">
        <f>ABS(first_derivative!C26-first_derivative!B26)</f>
        <v>1996094.942550011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2026-01-19T15:38:27Z</dcterms:modified>
  <dcterms:created xsi:type="dcterms:W3CDTF">2026-01-19T15:26:08Z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