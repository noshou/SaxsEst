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5360" windowHeight="6410"/>
  </bookViews>
  <sheets>
    <sheet name="analysis_arginase.csv" sheetId="1" r:id="rId1"/>
  </sheets>
  <definedNames>
    <definedName name="floor">#NAME?</definedName>
    <definedName name="_xlnm.Sheet_Title" localSheetId="0">"analysis_arginase.csv"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<sst xmlns="http://schemas.openxmlformats.org/spreadsheetml/2006/main" uniqueCount="4" count="4">
  <si>
    <t>q_inverse_angstroms</t>
  </si>
  <si>
    <t>intensity_debye_norm</t>
  </si>
  <si>
    <t>784990692.440024+417511.267455i</t>
  </si>
  <si>
    <t>1.900647-0.000051i</t>
  </si>
</sst>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I27"/>
  <sheetViews>
    <sheetView workbookViewId="0" tabSelected="1">
      <selection activeCell="A1" sqref="A1:A65536 F1:G65536"/>
    </sheetView>
  </sheetViews>
  <sheetFormatPr defaultColWidth="67.5" defaultRowHeight="15"/>
  <cols>
    <col min="1" max="4" style="0" width="12.856370192307693"/>
    <col min="5" max="5" style="0" width="5.856790865384616" customWidth="1"/>
    <col min="6" max="256" style="0" width="12.856370192307693"/>
  </cols>
  <sheetData>
    <row r="1" spans="1:9">
      <c r="A1" t="s">
        <v>0</v>
      </c>
      <c r="B1" t="inlineStr">
        <is>
          <t>intensity_debye</t>
        </is>
      </c>
      <c r="C1" t="inlineStr">
        <is>
          <t>intensity_prop</t>
        </is>
      </c>
      <c r="D1" t="inlineStr">
        <is>
          <t>weight_debye</t>
        </is>
      </c>
      <c r="E1" t="inlineStr">
        <is>
          <t>weight_prop</t>
        </is>
      </c>
      <c r="F1" t="s">
        <v>1</v>
      </c>
      <c r="G1" t="inlineStr">
        <is>
          <t>intensity_prop_norm</t>
        </is>
      </c>
      <c r="H1" t="inlineStr">
        <is>
          <t>debye_norm</t>
        </is>
      </c>
      <c r="I1" t="inlineStr">
        <is>
          <t>prop_norm</t>
        </is>
      </c>
    </row>
    <row r="2" spans="1:9">
      <c r="A2">
        <v>0</v>
      </c>
      <c r="B2">
        <v>6185588522.8305445</v>
      </c>
      <c r="C2">
        <v>1492809047.8345809</v>
      </c>
      <c r="D2" t="s">
        <v>2</v>
      </c>
      <c r="E2" t="s">
        <v>3</v>
      </c>
      <c r="F2">
        <f>B2/$H$2</f>
        <v>62.091609192527862</v>
      </c>
      <c r="G2">
        <f>C2/$I$2</f>
        <v>30.55466362256993</v>
      </c>
      <c r="H2">
        <f>9981*9981</f>
        <v>99620361</v>
      </c>
      <c r="I2">
        <f>9981*(ROUNDDOWN(SQRT(24*9981)/0.10000000000000001,0)+1)</f>
        <v>48856995</v>
      </c>
    </row>
    <row r="3" spans="1:9">
      <c r="A3">
        <v>0.02</v>
      </c>
      <c r="B3">
        <v>5099801321.4657431</v>
      </c>
      <c r="C3">
        <v>1231276864.716748</v>
      </c>
      <c r="D3" t="s">
        <v>2</v>
      </c>
      <c r="E3" t="s">
        <v>3</v>
      </c>
      <c r="F3">
        <f>B3/$H$2</f>
        <v>51.192359375868385</v>
      </c>
      <c r="G3">
        <f>C3/$I$2</f>
        <v>25.201649522586234</v>
      </c>
    </row>
    <row r="4" spans="1:9">
      <c r="A4">
        <v>0.040000000000000001</v>
      </c>
      <c r="B4">
        <v>2992741428.3216162</v>
      </c>
      <c r="C4">
        <v>723663410.50025702</v>
      </c>
      <c r="D4" t="s">
        <v>2</v>
      </c>
      <c r="E4" t="s">
        <v>3</v>
      </c>
      <c r="F4">
        <f>B4/$H$2</f>
        <v>30.041463394432149</v>
      </c>
      <c r="G4">
        <f>C4/$I$2</f>
        <v>14.811869016918806</v>
      </c>
    </row>
    <row r="5" spans="1:9">
      <c r="A5">
        <v>0.059999999999999998</v>
      </c>
      <c r="B5">
        <v>1637741640.9019811</v>
      </c>
      <c r="C5">
        <v>397297754.04909801</v>
      </c>
      <c r="D5" t="s">
        <v>2</v>
      </c>
      <c r="E5" t="s">
        <v>3</v>
      </c>
      <c r="F5">
        <f>B5/$H$2</f>
        <v>16.439828409194192</v>
      </c>
      <c r="G5">
        <f>C5/$I$2</f>
        <v>8.1318499848199419</v>
      </c>
    </row>
    <row r="6" spans="1:9">
      <c r="A6">
        <v>0.080000000000000002</v>
      </c>
      <c r="B6">
        <v>1247075497.0634029</v>
      </c>
      <c r="C6">
        <v>303608824.482831</v>
      </c>
      <c r="D6" t="s">
        <v>2</v>
      </c>
      <c r="E6" t="s">
        <v>3</v>
      </c>
      <c r="F6">
        <f>B6/$H$2</f>
        <v>12.518279240760862</v>
      </c>
      <c r="G6">
        <f>C6/$I$2</f>
        <v>6.2142345120249622</v>
      </c>
    </row>
    <row r="7" spans="1:9">
      <c r="A7">
        <v>0.10000000000000001</v>
      </c>
      <c r="B7">
        <v>1004053458.054782</v>
      </c>
      <c r="C7">
        <v>245379949.052542</v>
      </c>
      <c r="D7" t="s">
        <v>2</v>
      </c>
      <c r="E7" t="s">
        <v>3</v>
      </c>
      <c r="F7">
        <f>B7/$H$2</f>
        <v>10.078797627071257</v>
      </c>
      <c r="G7">
        <f>C7/$I$2</f>
        <v>5.0224118174386696</v>
      </c>
    </row>
    <row r="8" spans="1:9">
      <c r="A8">
        <v>0.12</v>
      </c>
      <c r="B8">
        <v>593696354.58845901</v>
      </c>
      <c r="C8">
        <v>146119457.769355</v>
      </c>
      <c r="D8" t="s">
        <v>2</v>
      </c>
      <c r="E8" t="s">
        <v>3</v>
      </c>
      <c r="F8">
        <f>B8/$H$2</f>
        <v>5.959588467948425</v>
      </c>
      <c r="G8">
        <f>C8/$I$2</f>
        <v>2.9907581866087956</v>
      </c>
    </row>
    <row r="9" spans="1:9">
      <c r="A9">
        <v>0.14000000000000001</v>
      </c>
      <c r="B9">
        <v>250457184.65852299</v>
      </c>
      <c r="C9">
        <v>62631906.364490002</v>
      </c>
      <c r="D9" t="s">
        <v>2</v>
      </c>
      <c r="E9" t="s">
        <v>3</v>
      </c>
      <c r="F9">
        <f>B9/$H$2</f>
        <v>2.5141164129943574</v>
      </c>
      <c r="G9">
        <f>C9/$I$2</f>
        <v>1.2819434835173551</v>
      </c>
    </row>
    <row r="10" spans="1:9">
      <c r="A10">
        <v>0.16</v>
      </c>
      <c r="B10">
        <v>87568407.455711007</v>
      </c>
      <c r="C10">
        <v>22748037.087315999</v>
      </c>
      <c r="D10" t="s">
        <v>2</v>
      </c>
      <c r="E10" t="s">
        <v>3</v>
      </c>
      <c r="F10">
        <f>B10/$H$2</f>
        <v>0.8790211817814132</v>
      </c>
      <c r="G10">
        <f>C10/$I$2</f>
        <v>0.46560450734466985</v>
      </c>
    </row>
    <row r="11" spans="1:9">
      <c r="A11">
        <v>0.17999999999999999</v>
      </c>
      <c r="B11">
        <v>27298897.611940999</v>
      </c>
      <c r="C11">
        <v>7761768.0986700002</v>
      </c>
      <c r="D11" t="s">
        <v>2</v>
      </c>
      <c r="E11" t="s">
        <v>3</v>
      </c>
      <c r="F11">
        <f>B11/$H$2</f>
        <v>0.27402929820682942</v>
      </c>
      <c r="G11">
        <f>C11/$I$2</f>
        <v>0.15886707929273997</v>
      </c>
    </row>
    <row r="12" spans="1:9">
      <c r="A12">
        <v>0.20000000000000001</v>
      </c>
      <c r="B12">
        <v>11159633.209843</v>
      </c>
      <c r="C12">
        <v>3547786.2814750001</v>
      </c>
      <c r="D12" t="s">
        <v>2</v>
      </c>
      <c r="E12" t="s">
        <v>3</v>
      </c>
      <c r="F12">
        <f>B12/$H$2</f>
        <v>0.11202160981772592</v>
      </c>
      <c r="G12">
        <f>C12/$I$2</f>
        <v>0.07261572844328637</v>
      </c>
    </row>
    <row r="13" spans="1:9">
      <c r="A13">
        <v>0.22</v>
      </c>
      <c r="B13">
        <v>15044815.071045</v>
      </c>
      <c r="C13">
        <v>4379437.5097040003</v>
      </c>
      <c r="D13" t="s">
        <v>2</v>
      </c>
      <c r="E13" t="s">
        <v>3</v>
      </c>
      <c r="F13">
        <f>B13/$H$2</f>
        <v>0.15102148717414304</v>
      </c>
      <c r="G13">
        <f>C13/$I$2</f>
        <v>0.089637881120277665</v>
      </c>
    </row>
    <row r="14" spans="1:9">
      <c r="A14">
        <v>0.23999999999999999</v>
      </c>
      <c r="B14">
        <v>19082205.793559</v>
      </c>
      <c r="C14">
        <v>5360052.7931340002</v>
      </c>
      <c r="D14" t="s">
        <v>2</v>
      </c>
      <c r="E14" t="s">
        <v>3</v>
      </c>
      <c r="F14">
        <f>B14/$H$2</f>
        <v>0.19154925360648914</v>
      </c>
      <c r="G14">
        <f>C14/$I$2</f>
        <v>0.1097090149145276</v>
      </c>
    </row>
    <row r="15" spans="1:9">
      <c r="A15">
        <v>0.26000000000000001</v>
      </c>
      <c r="B15">
        <v>18358099.678256001</v>
      </c>
      <c r="C15">
        <v>5182473.5330299996</v>
      </c>
      <c r="D15" t="s">
        <v>2</v>
      </c>
      <c r="E15" t="s">
        <v>3</v>
      </c>
      <c r="F15">
        <f>B15/$H$2</f>
        <v>0.1842805978012467</v>
      </c>
      <c r="G15">
        <f>C15/$I$2</f>
        <v>0.10607434069635269</v>
      </c>
    </row>
    <row r="16" spans="1:9">
      <c r="A16">
        <v>0.28000000000000003</v>
      </c>
      <c r="B16">
        <v>14838891.016842</v>
      </c>
      <c r="C16">
        <v>4343435.1602910003</v>
      </c>
      <c r="D16" t="s">
        <v>2</v>
      </c>
      <c r="E16" t="s">
        <v>3</v>
      </c>
      <c r="F16">
        <f>B16/$H$2</f>
        <v>0.14895439915984646</v>
      </c>
      <c r="G16">
        <f>C16/$I$2</f>
        <v>0.088900988697544744</v>
      </c>
    </row>
    <row r="17" spans="1:9">
      <c r="A17">
        <v>0.29999999999999999</v>
      </c>
      <c r="B17">
        <v>9845502.8511009999</v>
      </c>
      <c r="C17">
        <v>3148441.267887</v>
      </c>
      <c r="D17" t="s">
        <v>2</v>
      </c>
      <c r="E17" t="s">
        <v>3</v>
      </c>
      <c r="F17">
        <f>B17/$H$2</f>
        <v>0.098830226594952816</v>
      </c>
      <c r="G17">
        <f>C17/$I$2</f>
        <v>0.064441975358635953</v>
      </c>
    </row>
    <row r="18" spans="1:9">
      <c r="A18">
        <v>0.32000000000000001</v>
      </c>
      <c r="B18">
        <v>6141282.5080650002</v>
      </c>
      <c r="C18">
        <v>2226464.7318290002</v>
      </c>
      <c r="D18" t="s">
        <v>2</v>
      </c>
      <c r="E18" t="s">
        <v>3</v>
      </c>
      <c r="F18">
        <f>B18/$H$2</f>
        <v>0.061646860605785198</v>
      </c>
      <c r="G18">
        <f>C18/$I$2</f>
        <v>0.04557105347615014</v>
      </c>
    </row>
    <row r="19" spans="1:9">
      <c r="A19">
        <v>0.34000000000000002</v>
      </c>
      <c r="B19">
        <v>4459251.9979619998</v>
      </c>
      <c r="C19">
        <v>1786067.6781289999</v>
      </c>
      <c r="D19" t="s">
        <v>2</v>
      </c>
      <c r="E19" t="s">
        <v>3</v>
      </c>
      <c r="F19">
        <f>B19/$H$2</f>
        <v>0.044762455718886623</v>
      </c>
      <c r="G19">
        <f>C19/$I$2</f>
        <v>0.036557051413600036</v>
      </c>
    </row>
    <row r="20" spans="1:9">
      <c r="A20">
        <v>0.35999999999999999</v>
      </c>
      <c r="B20">
        <v>3777997.7794320001</v>
      </c>
      <c r="C20">
        <v>1599498.2137539999</v>
      </c>
      <c r="D20" t="s">
        <v>2</v>
      </c>
      <c r="E20" t="s">
        <v>3</v>
      </c>
      <c r="F20">
        <f>B20/$H$2</f>
        <v>0.037923951906096785</v>
      </c>
      <c r="G20">
        <f>C20/$I$2</f>
        <v>0.0327383666096124</v>
      </c>
    </row>
    <row r="21" spans="1:9">
      <c r="A21">
        <v>0.38</v>
      </c>
      <c r="B21">
        <v>3979289.1894979998</v>
      </c>
      <c r="C21">
        <v>1628891.4215929999</v>
      </c>
      <c r="D21" t="s">
        <v>2</v>
      </c>
      <c r="E21" t="s">
        <v>3</v>
      </c>
      <c r="F21">
        <f>B21/$H$2</f>
        <v>0.039944536935556774</v>
      </c>
      <c r="G21">
        <f>C21/$I$2</f>
        <v>0.033339983795421718</v>
      </c>
    </row>
    <row r="22" spans="1:9">
      <c r="A22">
        <v>0.40000000000000002</v>
      </c>
      <c r="B22">
        <v>4491063.5935049998</v>
      </c>
      <c r="C22">
        <v>1743161.250342</v>
      </c>
      <c r="D22" t="s">
        <v>2</v>
      </c>
      <c r="E22" t="s">
        <v>3</v>
      </c>
      <c r="F22">
        <f>B22/$H$2</f>
        <v>0.045081783968891662</v>
      </c>
      <c r="G22">
        <f>C22/$I$2</f>
        <v>0.035678847017545798</v>
      </c>
    </row>
    <row r="23" spans="1:9">
      <c r="A23">
        <v>0.41999999999999998</v>
      </c>
      <c r="B23">
        <v>4467992.3496700004</v>
      </c>
      <c r="C23">
        <v>1734584.1173370001</v>
      </c>
      <c r="D23" t="s">
        <v>2</v>
      </c>
      <c r="E23" t="s">
        <v>3</v>
      </c>
      <c r="F23">
        <f>B23/$H$2</f>
        <v>0.044850192318315329</v>
      </c>
      <c r="G23">
        <f>C23/$I$2</f>
        <v>0.035503291132354745</v>
      </c>
    </row>
    <row r="24" spans="1:9">
      <c r="A24">
        <v>0.44</v>
      </c>
      <c r="B24">
        <v>3961048.2455440001</v>
      </c>
      <c r="C24">
        <v>1612916.8861110001</v>
      </c>
      <c r="D24" t="s">
        <v>2</v>
      </c>
      <c r="E24" t="s">
        <v>3</v>
      </c>
      <c r="F24">
        <f>B24/$H$2</f>
        <v>0.0397614323596358</v>
      </c>
      <c r="G24">
        <f>C24/$I$2</f>
        <v>0.033013018629389712</v>
      </c>
    </row>
    <row r="25" spans="1:9">
      <c r="A25">
        <v>0.46000000000000002</v>
      </c>
      <c r="B25">
        <v>3303128.994318</v>
      </c>
      <c r="C25">
        <v>1468458.3858060001</v>
      </c>
      <c r="D25" t="s">
        <v>2</v>
      </c>
      <c r="E25" t="s">
        <v>3</v>
      </c>
      <c r="F25">
        <f>B25/$H$2</f>
        <v>0.033157167482237897</v>
      </c>
      <c r="G25">
        <f>C25/$I$2</f>
        <v>0.030056256751075257</v>
      </c>
    </row>
    <row r="26" spans="1:9">
      <c r="A26">
        <v>0.47999999999999998</v>
      </c>
      <c r="B26">
        <v>2800500.9747100002</v>
      </c>
      <c r="C26">
        <v>1357507.008436</v>
      </c>
      <c r="D26" t="s">
        <v>2</v>
      </c>
      <c r="E26" t="s">
        <v>3</v>
      </c>
      <c r="F26">
        <f>B26/$H$2</f>
        <v>0.028111732848568979</v>
      </c>
      <c r="G26">
        <f>C26/$I$2</f>
        <v>0.027785315253956982</v>
      </c>
    </row>
    <row r="27" spans="1:9">
      <c r="A27">
        <v>0.5</v>
      </c>
      <c r="B27">
        <v>2588174.4912769999</v>
      </c>
      <c r="C27">
        <v>1296530.351217</v>
      </c>
      <c r="D27" t="s">
        <v>2</v>
      </c>
      <c r="E27" t="s">
        <v>3</v>
      </c>
      <c r="F27">
        <f>B27/$H$2</f>
        <v>0.025980376554517806</v>
      </c>
      <c r="G27">
        <f>C27/$I$2</f>
        <v>0.026537251241444546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1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2026-02-18T20:50:42Z</dcterms:modified>
  <dcterms:created xsi:type="dcterms:W3CDTF">2026-02-18T20:46:47Z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